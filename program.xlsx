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matteo_francia2_studio_unibo_it/Documents/teaching-bigdata/AA2526-unibo-mldm/"/>
    </mc:Choice>
  </mc:AlternateContent>
  <xr:revisionPtr revIDLastSave="184" documentId="11_F25DC773A252ABDACC10480B991D78805BDE58ED" xr6:coauthVersionLast="47" xr6:coauthVersionMax="47" xr10:uidLastSave="{C6DCC497-A1D8-454A-B4FE-BC5693B603E6}"/>
  <bookViews>
    <workbookView xWindow="57480" yWindow="15990" windowWidth="29040" windowHeight="15720" xr2:uid="{00000000-000D-0000-FFFF-FFFF00000000}"/>
  </bookViews>
  <sheets>
    <sheet name="AA2526 (2)" sheetId="2" r:id="rId1"/>
    <sheet name="AA25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2" l="1"/>
  <c r="H15" i="2"/>
  <c r="H14" i="2"/>
  <c r="H13" i="2"/>
  <c r="H12" i="2"/>
  <c r="H11" i="2"/>
  <c r="H10" i="2"/>
  <c r="H9" i="2"/>
  <c r="H8" i="2"/>
  <c r="H7" i="2"/>
  <c r="H6" i="2"/>
  <c r="H5" i="2"/>
  <c r="H4" i="2"/>
  <c r="H3" i="2"/>
  <c r="A3" i="2"/>
  <c r="A4" i="2" s="1"/>
  <c r="H2" i="2"/>
  <c r="B2" i="2"/>
  <c r="B2" i="1"/>
  <c r="G16" i="1"/>
  <c r="H15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B15" i="1" s="1"/>
  <c r="A5" i="2" l="1"/>
  <c r="B4" i="2"/>
  <c r="B3" i="2"/>
  <c r="B3" i="1"/>
  <c r="B14" i="1"/>
  <c r="B10" i="1"/>
  <c r="B7" i="1"/>
  <c r="B12" i="1"/>
  <c r="B6" i="1"/>
  <c r="B13" i="1"/>
  <c r="B11" i="1"/>
  <c r="B9" i="1"/>
  <c r="B8" i="1"/>
  <c r="B5" i="1"/>
  <c r="B4" i="1"/>
  <c r="A6" i="2" l="1"/>
  <c r="B5" i="2"/>
  <c r="A7" i="2" l="1"/>
  <c r="B6" i="2"/>
  <c r="A8" i="2" l="1"/>
  <c r="B7" i="2"/>
  <c r="A9" i="2" l="1"/>
  <c r="B8" i="2"/>
  <c r="A10" i="2" l="1"/>
  <c r="B9" i="2"/>
  <c r="A11" i="2" l="1"/>
  <c r="B10" i="2"/>
  <c r="A12" i="2" l="1"/>
  <c r="B11" i="2"/>
  <c r="A13" i="2" l="1"/>
  <c r="B12" i="2"/>
  <c r="A14" i="2" l="1"/>
  <c r="B13" i="2"/>
  <c r="A15" i="2" l="1"/>
  <c r="B15" i="2" s="1"/>
  <c r="B14" i="2"/>
</calcChain>
</file>

<file path=xl/sharedStrings.xml><?xml version="1.0" encoding="utf-8"?>
<sst xmlns="http://schemas.openxmlformats.org/spreadsheetml/2006/main" count="102" uniqueCount="37">
  <si>
    <t>Data preprocessing</t>
  </si>
  <si>
    <t>What</t>
  </si>
  <si>
    <t>When</t>
  </si>
  <si>
    <t>Coverage</t>
  </si>
  <si>
    <t>(Deep) neural networks</t>
  </si>
  <si>
    <t>Lab: Data understanding + Housing</t>
  </si>
  <si>
    <t>Lab: Data Preparation + Housing</t>
  </si>
  <si>
    <t>Modeling</t>
  </si>
  <si>
    <t>Data preprocessing (until data integration)</t>
  </si>
  <si>
    <t>-</t>
  </si>
  <si>
    <t>Day</t>
  </si>
  <si>
    <t>Theory</t>
  </si>
  <si>
    <t>Lab</t>
  </si>
  <si>
    <t>Room</t>
  </si>
  <si>
    <t>Duration</t>
  </si>
  <si>
    <t>Tot</t>
  </si>
  <si>
    <t>Max</t>
  </si>
  <si>
    <t>Lab: Challenge</t>
  </si>
  <si>
    <t>Lab: Housing + Titanic</t>
  </si>
  <si>
    <t>Lab: Challenge Solution + AutoML</t>
  </si>
  <si>
    <t>Lab 4.2 (13-15)</t>
  </si>
  <si>
    <t>Fairness + Summing up</t>
  </si>
  <si>
    <t>Intro + CRISP-DM</t>
  </si>
  <si>
    <t>Business Understanding</t>
  </si>
  <si>
    <t xml:space="preserve"> + Data understanding</t>
  </si>
  <si>
    <t>Lectures (in Class)</t>
  </si>
  <si>
    <t>at home</t>
  </si>
  <si>
    <t>Lab 00</t>
  </si>
  <si>
    <t>CS: Sport</t>
  </si>
  <si>
    <t>Lab: Understanding</t>
  </si>
  <si>
    <t>Lab: Housing (Data Understanding)</t>
  </si>
  <si>
    <t>Lab: Introduction to Colab</t>
  </si>
  <si>
    <t>Follow-up at home</t>
  </si>
  <si>
    <t>Data Understanding</t>
  </si>
  <si>
    <t>Data preprocessing (until data normalization)</t>
  </si>
  <si>
    <t>Lab: Preprocessing</t>
  </si>
  <si>
    <t>Modeling (until k-nn)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</si>
</sst>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1" fontId="0" fillId="0" borderId="0" xfId="0" applyNumberForma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A7BF-4F83-4B95-BD26-B9FD6BCF8777}">
  <dimension ref="A1:I17"/>
  <sheetViews>
    <sheetView tabSelected="1" zoomScale="220" zoomScaleNormal="220" workbookViewId="0">
      <selection activeCell="E10" sqref="E10"/>
    </sheetView>
  </sheetViews>
  <sheetFormatPr defaultRowHeight="14.5" x14ac:dyDescent="0.35"/>
  <cols>
    <col min="1" max="1" width="16.1796875" customWidth="1"/>
    <col min="2" max="2" width="4.26953125" style="1" hidden="1" customWidth="1"/>
    <col min="3" max="3" width="13.26953125" style="14" bestFit="1" customWidth="1"/>
    <col min="4" max="4" width="6.7265625" style="1" bestFit="1" customWidth="1"/>
    <col min="5" max="5" width="38.54296875" customWidth="1"/>
    <col min="6" max="6" width="22.7265625" bestFit="1" customWidth="1"/>
    <col min="7" max="7" width="8.26953125" style="1" bestFit="1" customWidth="1"/>
    <col min="8" max="8" width="8.81640625" style="1" bestFit="1" customWidth="1"/>
    <col min="9" max="9" width="6.26953125" style="1" bestFit="1" customWidth="1"/>
  </cols>
  <sheetData>
    <row r="1" spans="1:9" x14ac:dyDescent="0.35">
      <c r="A1" s="2" t="s">
        <v>2</v>
      </c>
      <c r="B1" s="3" t="s">
        <v>10</v>
      </c>
      <c r="C1" s="11" t="s">
        <v>13</v>
      </c>
      <c r="D1" s="3" t="s">
        <v>1</v>
      </c>
      <c r="E1" s="2" t="s">
        <v>25</v>
      </c>
      <c r="F1" s="3" t="s">
        <v>32</v>
      </c>
      <c r="G1" s="3" t="s">
        <v>14</v>
      </c>
      <c r="H1" s="3" t="s">
        <v>3</v>
      </c>
      <c r="I1" s="3"/>
    </row>
    <row r="2" spans="1:9" x14ac:dyDescent="0.35">
      <c r="A2" s="12">
        <v>45924</v>
      </c>
      <c r="B2" s="5">
        <f>WEEKDAY(A2)-1</f>
        <v>3</v>
      </c>
      <c r="C2" s="10" t="s">
        <v>20</v>
      </c>
      <c r="D2" s="8" t="s">
        <v>11</v>
      </c>
      <c r="E2" t="s">
        <v>22</v>
      </c>
      <c r="F2" t="s">
        <v>31</v>
      </c>
      <c r="G2" s="7">
        <v>2</v>
      </c>
      <c r="H2" s="4">
        <f>SUM($G$2:G2)/$G$17</f>
        <v>8.3333333333333329E-2</v>
      </c>
    </row>
    <row r="3" spans="1:9" x14ac:dyDescent="0.35">
      <c r="A3" s="12">
        <f>A2+7</f>
        <v>45931</v>
      </c>
      <c r="B3" s="5">
        <f t="shared" ref="B3:B15" si="0">WEEKDAY(A3)-1</f>
        <v>3</v>
      </c>
      <c r="C3" s="10" t="s">
        <v>20</v>
      </c>
      <c r="D3" s="8" t="s">
        <v>11</v>
      </c>
      <c r="E3" t="s">
        <v>23</v>
      </c>
      <c r="F3" t="s">
        <v>28</v>
      </c>
      <c r="G3" s="7">
        <v>2</v>
      </c>
      <c r="H3" s="4">
        <f>SUM($G$2:G3)/$G$17</f>
        <v>0.16666666666666666</v>
      </c>
    </row>
    <row r="4" spans="1:9" x14ac:dyDescent="0.35">
      <c r="A4" s="12">
        <f t="shared" ref="A4:A15" si="1">A3+7</f>
        <v>45938</v>
      </c>
      <c r="B4" s="5">
        <f t="shared" si="0"/>
        <v>3</v>
      </c>
      <c r="C4" s="10" t="s">
        <v>20</v>
      </c>
      <c r="D4" s="8" t="s">
        <v>11</v>
      </c>
      <c r="E4" t="s">
        <v>33</v>
      </c>
      <c r="F4" t="s">
        <v>29</v>
      </c>
      <c r="G4" s="7">
        <v>2</v>
      </c>
      <c r="H4" s="4">
        <f>SUM($G$2:G4)/$G$17</f>
        <v>0.25</v>
      </c>
    </row>
    <row r="5" spans="1:9" x14ac:dyDescent="0.35">
      <c r="A5" s="12">
        <f t="shared" si="1"/>
        <v>45945</v>
      </c>
      <c r="B5" s="5">
        <f t="shared" si="0"/>
        <v>3</v>
      </c>
      <c r="C5" s="10" t="s">
        <v>20</v>
      </c>
      <c r="D5" s="5" t="s">
        <v>12</v>
      </c>
      <c r="E5" s="15" t="s">
        <v>30</v>
      </c>
      <c r="G5" s="7">
        <v>2</v>
      </c>
      <c r="H5" s="4">
        <f>SUM($G$2:G5)/$G$17</f>
        <v>0.33333333333333331</v>
      </c>
    </row>
    <row r="6" spans="1:9" x14ac:dyDescent="0.35">
      <c r="A6" s="12">
        <f t="shared" si="1"/>
        <v>45952</v>
      </c>
      <c r="B6" s="5">
        <f t="shared" si="0"/>
        <v>3</v>
      </c>
      <c r="C6" s="10" t="s">
        <v>20</v>
      </c>
      <c r="D6" s="8" t="s">
        <v>11</v>
      </c>
      <c r="E6" s="17" t="s">
        <v>34</v>
      </c>
      <c r="G6" s="7">
        <v>2</v>
      </c>
      <c r="H6" s="4">
        <f>SUM($G$2:G6)/$G$17</f>
        <v>0.41666666666666669</v>
      </c>
    </row>
    <row r="7" spans="1:9" x14ac:dyDescent="0.35">
      <c r="A7" s="12">
        <f t="shared" si="1"/>
        <v>45959</v>
      </c>
      <c r="B7" s="5">
        <f t="shared" si="0"/>
        <v>3</v>
      </c>
      <c r="C7" s="10" t="s">
        <v>20</v>
      </c>
      <c r="D7" s="8" t="s">
        <v>11</v>
      </c>
      <c r="E7" s="15" t="s">
        <v>0</v>
      </c>
      <c r="F7" t="s">
        <v>35</v>
      </c>
      <c r="G7" s="7">
        <v>2</v>
      </c>
      <c r="H7" s="4">
        <f>SUM($G$2:G7)/$G$17</f>
        <v>0.5</v>
      </c>
    </row>
    <row r="8" spans="1:9" x14ac:dyDescent="0.35">
      <c r="A8" s="12">
        <f t="shared" si="1"/>
        <v>45966</v>
      </c>
      <c r="B8" s="5">
        <f t="shared" si="0"/>
        <v>3</v>
      </c>
      <c r="C8" s="10" t="s">
        <v>20</v>
      </c>
      <c r="D8" s="8" t="s">
        <v>11</v>
      </c>
      <c r="E8" s="15" t="s">
        <v>4</v>
      </c>
      <c r="G8" s="7">
        <v>2</v>
      </c>
      <c r="H8" s="4">
        <f>SUM($G$2:G8)/$G$17</f>
        <v>0.58333333333333337</v>
      </c>
    </row>
    <row r="9" spans="1:9" x14ac:dyDescent="0.35">
      <c r="A9" s="12">
        <f t="shared" si="1"/>
        <v>45973</v>
      </c>
      <c r="B9" s="5">
        <f t="shared" si="0"/>
        <v>3</v>
      </c>
      <c r="C9" s="10" t="s">
        <v>20</v>
      </c>
      <c r="D9" s="8" t="s">
        <v>11</v>
      </c>
      <c r="E9" s="17" t="s">
        <v>36</v>
      </c>
      <c r="G9" s="7">
        <v>2</v>
      </c>
      <c r="H9" s="4">
        <f>SUM($G$2:G9)/$G$17</f>
        <v>0.66666666666666663</v>
      </c>
    </row>
    <row r="10" spans="1:9" x14ac:dyDescent="0.35">
      <c r="A10" s="12">
        <f t="shared" si="1"/>
        <v>45980</v>
      </c>
      <c r="B10" s="5">
        <f t="shared" si="0"/>
        <v>3</v>
      </c>
      <c r="C10" s="10" t="s">
        <v>20</v>
      </c>
      <c r="D10" s="16"/>
      <c r="E10" s="18" t="s">
        <v>18</v>
      </c>
      <c r="G10" s="7">
        <v>2</v>
      </c>
      <c r="H10" s="4">
        <f>SUM($G$2:G10)/$G$17</f>
        <v>0.75</v>
      </c>
    </row>
    <row r="11" spans="1:9" x14ac:dyDescent="0.35">
      <c r="A11" s="12">
        <f t="shared" si="1"/>
        <v>45987</v>
      </c>
      <c r="B11" s="5">
        <f t="shared" si="0"/>
        <v>3</v>
      </c>
      <c r="C11" s="10" t="s">
        <v>20</v>
      </c>
      <c r="D11" s="16"/>
      <c r="E11" s="18" t="s">
        <v>17</v>
      </c>
      <c r="G11" s="7">
        <v>2</v>
      </c>
      <c r="H11" s="4">
        <f>SUM($G$2:G11)/$G$17</f>
        <v>0.83333333333333337</v>
      </c>
    </row>
    <row r="12" spans="1:9" x14ac:dyDescent="0.35">
      <c r="A12" s="12">
        <f t="shared" si="1"/>
        <v>45994</v>
      </c>
      <c r="B12" s="5">
        <f t="shared" si="0"/>
        <v>3</v>
      </c>
      <c r="C12" s="10" t="s">
        <v>20</v>
      </c>
      <c r="D12" s="16"/>
      <c r="E12" s="18" t="s">
        <v>19</v>
      </c>
      <c r="G12" s="7">
        <v>2</v>
      </c>
      <c r="H12" s="4">
        <f>SUM($G$2:G12)/$G$17</f>
        <v>0.91666666666666663</v>
      </c>
    </row>
    <row r="13" spans="1:9" x14ac:dyDescent="0.35">
      <c r="A13" s="12">
        <f>A12+7</f>
        <v>46001</v>
      </c>
      <c r="B13" s="5">
        <f t="shared" si="0"/>
        <v>3</v>
      </c>
      <c r="C13" s="10" t="s">
        <v>20</v>
      </c>
      <c r="D13" s="16"/>
      <c r="G13" s="7">
        <v>2</v>
      </c>
      <c r="H13" s="4">
        <f>SUM($G$2:G13)/$G$17</f>
        <v>1</v>
      </c>
    </row>
    <row r="14" spans="1:9" x14ac:dyDescent="0.35">
      <c r="A14" s="12">
        <f t="shared" si="1"/>
        <v>46008</v>
      </c>
      <c r="B14" s="5">
        <f t="shared" si="0"/>
        <v>3</v>
      </c>
      <c r="C14" s="10" t="s">
        <v>20</v>
      </c>
      <c r="D14" s="16"/>
      <c r="G14" s="7" t="s">
        <v>9</v>
      </c>
      <c r="H14" s="4">
        <f>SUM($G$2:G14)/$G$17</f>
        <v>1</v>
      </c>
    </row>
    <row r="15" spans="1:9" hidden="1" x14ac:dyDescent="0.35">
      <c r="A15" s="12">
        <f t="shared" si="1"/>
        <v>46015</v>
      </c>
      <c r="B15" s="5">
        <f t="shared" si="0"/>
        <v>3</v>
      </c>
      <c r="C15" s="10"/>
      <c r="D15" s="5"/>
      <c r="E15" s="15" t="s">
        <v>21</v>
      </c>
      <c r="G15" s="5" t="s">
        <v>9</v>
      </c>
      <c r="H15" s="4">
        <f>SUM($G$2:G15)/$G$17</f>
        <v>1</v>
      </c>
    </row>
    <row r="16" spans="1:9" x14ac:dyDescent="0.35">
      <c r="A16" s="12"/>
      <c r="B16" s="6"/>
      <c r="C16" s="13"/>
      <c r="D16" s="6"/>
      <c r="E16" s="9" t="s">
        <v>15</v>
      </c>
      <c r="G16" s="5">
        <f>SUM(G2:G14)</f>
        <v>24</v>
      </c>
      <c r="H16" s="4"/>
    </row>
    <row r="17" spans="5:7" x14ac:dyDescent="0.35">
      <c r="E17" s="9" t="s">
        <v>16</v>
      </c>
      <c r="G17" s="1">
        <v>24</v>
      </c>
    </row>
  </sheetData>
  <conditionalFormatting sqref="A2:A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="250" zoomScaleNormal="250" workbookViewId="0">
      <selection activeCell="E5" sqref="E5:E14"/>
    </sheetView>
  </sheetViews>
  <sheetFormatPr defaultRowHeight="14.5" x14ac:dyDescent="0.35"/>
  <cols>
    <col min="1" max="1" width="12.81640625" customWidth="1"/>
    <col min="2" max="2" width="4.26953125" style="1" hidden="1" customWidth="1"/>
    <col min="3" max="3" width="13.26953125" style="14" bestFit="1" customWidth="1"/>
    <col min="4" max="4" width="6.7265625" style="1" bestFit="1" customWidth="1"/>
    <col min="5" max="5" width="36.26953125" bestFit="1" customWidth="1"/>
    <col min="6" max="6" width="19.26953125" bestFit="1" customWidth="1"/>
    <col min="7" max="7" width="8.26953125" style="1" bestFit="1" customWidth="1"/>
    <col min="8" max="8" width="8.81640625" style="1" bestFit="1" customWidth="1"/>
    <col min="9" max="9" width="6.26953125" style="1" bestFit="1" customWidth="1"/>
  </cols>
  <sheetData>
    <row r="1" spans="1:9" x14ac:dyDescent="0.35">
      <c r="A1" s="2" t="s">
        <v>2</v>
      </c>
      <c r="B1" s="3" t="s">
        <v>10</v>
      </c>
      <c r="C1" s="11" t="s">
        <v>13</v>
      </c>
      <c r="D1" s="3" t="s">
        <v>1</v>
      </c>
      <c r="E1" s="2" t="s">
        <v>25</v>
      </c>
      <c r="F1" s="3" t="s">
        <v>26</v>
      </c>
      <c r="G1" s="3" t="s">
        <v>14</v>
      </c>
      <c r="H1" s="3" t="s">
        <v>3</v>
      </c>
      <c r="I1" s="3"/>
    </row>
    <row r="2" spans="1:9" x14ac:dyDescent="0.35">
      <c r="A2" s="12">
        <v>45559</v>
      </c>
      <c r="B2" s="5">
        <f>WEEKDAY(A2)-1</f>
        <v>2</v>
      </c>
      <c r="C2" s="10" t="s">
        <v>20</v>
      </c>
      <c r="D2" s="8" t="s">
        <v>11</v>
      </c>
      <c r="E2" t="s">
        <v>22</v>
      </c>
      <c r="F2" t="s">
        <v>27</v>
      </c>
      <c r="G2" s="7">
        <v>2</v>
      </c>
      <c r="H2" s="4">
        <f>SUM($G$2:G2)/$G$17</f>
        <v>8.3333333333333329E-2</v>
      </c>
    </row>
    <row r="3" spans="1:9" x14ac:dyDescent="0.35">
      <c r="A3" s="12">
        <f>A2+7</f>
        <v>45566</v>
      </c>
      <c r="B3" s="5">
        <f t="shared" ref="B3:B15" si="0">WEEKDAY(A3)-1</f>
        <v>2</v>
      </c>
      <c r="C3" s="10" t="s">
        <v>20</v>
      </c>
      <c r="D3" s="8" t="s">
        <v>11</v>
      </c>
      <c r="E3" t="s">
        <v>23</v>
      </c>
      <c r="F3" t="s">
        <v>24</v>
      </c>
      <c r="G3" s="7">
        <v>2</v>
      </c>
      <c r="H3" s="4">
        <f>SUM($G$2:G3)/$G$17</f>
        <v>0.16666666666666666</v>
      </c>
    </row>
    <row r="4" spans="1:9" x14ac:dyDescent="0.35">
      <c r="A4" s="12">
        <f t="shared" ref="A4:A15" si="1">A3+7</f>
        <v>45573</v>
      </c>
      <c r="B4" s="5">
        <f t="shared" si="0"/>
        <v>2</v>
      </c>
      <c r="C4" s="10" t="s">
        <v>20</v>
      </c>
      <c r="D4" s="5" t="s">
        <v>12</v>
      </c>
      <c r="E4" s="15" t="s">
        <v>5</v>
      </c>
      <c r="G4" s="7">
        <v>2</v>
      </c>
      <c r="H4" s="4">
        <f>SUM($G$2:G4)/$G$17</f>
        <v>0.25</v>
      </c>
    </row>
    <row r="5" spans="1:9" x14ac:dyDescent="0.35">
      <c r="A5" s="12">
        <f t="shared" si="1"/>
        <v>45580</v>
      </c>
      <c r="B5" s="5">
        <f t="shared" si="0"/>
        <v>2</v>
      </c>
      <c r="C5" s="10" t="s">
        <v>20</v>
      </c>
      <c r="D5" s="8" t="s">
        <v>11</v>
      </c>
      <c r="E5" s="15" t="s">
        <v>8</v>
      </c>
      <c r="G5" s="7">
        <v>2</v>
      </c>
      <c r="H5" s="4">
        <f>SUM($G$2:G5)/$G$17</f>
        <v>0.33333333333333331</v>
      </c>
    </row>
    <row r="6" spans="1:9" x14ac:dyDescent="0.35">
      <c r="A6" s="12">
        <f t="shared" si="1"/>
        <v>45587</v>
      </c>
      <c r="B6" s="5">
        <f t="shared" si="0"/>
        <v>2</v>
      </c>
      <c r="C6" s="10" t="s">
        <v>20</v>
      </c>
      <c r="D6" s="8" t="s">
        <v>11</v>
      </c>
      <c r="E6" s="15" t="s">
        <v>0</v>
      </c>
      <c r="G6" s="7">
        <v>2</v>
      </c>
      <c r="H6" s="4">
        <f>SUM($G$2:G6)/$G$17</f>
        <v>0.41666666666666669</v>
      </c>
    </row>
    <row r="7" spans="1:9" x14ac:dyDescent="0.35">
      <c r="A7" s="12">
        <f t="shared" si="1"/>
        <v>45594</v>
      </c>
      <c r="B7" s="5">
        <f t="shared" si="0"/>
        <v>2</v>
      </c>
      <c r="C7" s="10" t="s">
        <v>20</v>
      </c>
      <c r="D7" s="5" t="s">
        <v>12</v>
      </c>
      <c r="E7" s="15" t="s">
        <v>6</v>
      </c>
      <c r="G7" s="7">
        <v>2</v>
      </c>
      <c r="H7" s="4">
        <f>SUM($G$2:G7)/$G$17</f>
        <v>0.5</v>
      </c>
    </row>
    <row r="8" spans="1:9" hidden="1" x14ac:dyDescent="0.35">
      <c r="A8" s="12">
        <f t="shared" si="1"/>
        <v>45601</v>
      </c>
      <c r="B8" s="5">
        <f t="shared" si="0"/>
        <v>2</v>
      </c>
      <c r="C8" s="10" t="s">
        <v>20</v>
      </c>
      <c r="D8" s="1" t="s">
        <v>9</v>
      </c>
      <c r="E8" s="15" t="s">
        <v>9</v>
      </c>
      <c r="G8" s="7" t="s">
        <v>9</v>
      </c>
      <c r="H8" s="4">
        <f>SUM($G$2:G8)/$G$17</f>
        <v>0.5</v>
      </c>
    </row>
    <row r="9" spans="1:9" x14ac:dyDescent="0.35">
      <c r="A9" s="12">
        <f t="shared" si="1"/>
        <v>45608</v>
      </c>
      <c r="B9" s="5">
        <f t="shared" si="0"/>
        <v>2</v>
      </c>
      <c r="C9" s="10" t="s">
        <v>20</v>
      </c>
      <c r="D9" s="8" t="s">
        <v>11</v>
      </c>
      <c r="E9" s="15" t="s">
        <v>4</v>
      </c>
      <c r="G9" s="7">
        <v>2</v>
      </c>
      <c r="H9" s="4">
        <f>SUM($G$2:G9)/$G$17</f>
        <v>0.58333333333333337</v>
      </c>
    </row>
    <row r="10" spans="1:9" x14ac:dyDescent="0.35">
      <c r="A10" s="12">
        <f t="shared" si="1"/>
        <v>45615</v>
      </c>
      <c r="B10" s="5">
        <f t="shared" si="0"/>
        <v>2</v>
      </c>
      <c r="C10" s="10" t="s">
        <v>20</v>
      </c>
      <c r="D10" s="8" t="s">
        <v>11</v>
      </c>
      <c r="E10" s="15" t="s">
        <v>7</v>
      </c>
      <c r="G10" s="7">
        <v>2</v>
      </c>
      <c r="H10" s="4">
        <f>SUM($G$2:G10)/$G$17</f>
        <v>0.66666666666666663</v>
      </c>
    </row>
    <row r="11" spans="1:9" x14ac:dyDescent="0.35">
      <c r="A11" s="12">
        <f t="shared" si="1"/>
        <v>45622</v>
      </c>
      <c r="B11" s="5">
        <f t="shared" si="0"/>
        <v>2</v>
      </c>
      <c r="C11" s="10" t="s">
        <v>20</v>
      </c>
      <c r="D11" s="5" t="s">
        <v>12</v>
      </c>
      <c r="E11" s="15" t="s">
        <v>18</v>
      </c>
      <c r="G11" s="7">
        <v>2</v>
      </c>
      <c r="H11" s="4">
        <f>SUM($G$2:G11)/$G$17</f>
        <v>0.75</v>
      </c>
    </row>
    <row r="12" spans="1:9" x14ac:dyDescent="0.35">
      <c r="A12" s="12">
        <f t="shared" si="1"/>
        <v>45629</v>
      </c>
      <c r="B12" s="5">
        <f t="shared" si="0"/>
        <v>2</v>
      </c>
      <c r="C12" s="10" t="s">
        <v>20</v>
      </c>
      <c r="D12" s="5" t="s">
        <v>12</v>
      </c>
      <c r="E12" s="15" t="s">
        <v>17</v>
      </c>
      <c r="G12" s="7">
        <v>2</v>
      </c>
      <c r="H12" s="4">
        <f>SUM($G$2:G12)/$G$17</f>
        <v>0.83333333333333337</v>
      </c>
    </row>
    <row r="13" spans="1:9" x14ac:dyDescent="0.35">
      <c r="A13" s="12">
        <f>A12+7</f>
        <v>45636</v>
      </c>
      <c r="B13" s="5">
        <f t="shared" si="0"/>
        <v>2</v>
      </c>
      <c r="C13" s="10" t="s">
        <v>20</v>
      </c>
      <c r="D13" s="5" t="s">
        <v>12</v>
      </c>
      <c r="E13" s="15" t="s">
        <v>19</v>
      </c>
      <c r="G13" s="7">
        <v>2</v>
      </c>
      <c r="H13" s="4">
        <f>SUM($G$2:G13)/$G$17</f>
        <v>0.91666666666666663</v>
      </c>
    </row>
    <row r="14" spans="1:9" x14ac:dyDescent="0.35">
      <c r="A14" s="12">
        <f t="shared" si="1"/>
        <v>45643</v>
      </c>
      <c r="B14" s="5">
        <f t="shared" si="0"/>
        <v>2</v>
      </c>
      <c r="C14" s="10" t="s">
        <v>20</v>
      </c>
      <c r="D14" s="8" t="s">
        <v>11</v>
      </c>
      <c r="E14" s="15" t="s">
        <v>21</v>
      </c>
      <c r="G14" s="7">
        <v>2</v>
      </c>
      <c r="H14" s="4">
        <f>SUM($G$2:G14)/$G$17</f>
        <v>1</v>
      </c>
    </row>
    <row r="15" spans="1:9" hidden="1" x14ac:dyDescent="0.35">
      <c r="A15" s="12">
        <f t="shared" si="1"/>
        <v>45650</v>
      </c>
      <c r="B15" s="5">
        <f t="shared" si="0"/>
        <v>2</v>
      </c>
      <c r="C15" s="10"/>
      <c r="D15" s="5"/>
      <c r="G15" s="5" t="s">
        <v>9</v>
      </c>
      <c r="H15" s="4">
        <f>SUM($G$2:G15)/$G$17</f>
        <v>1</v>
      </c>
    </row>
    <row r="16" spans="1:9" x14ac:dyDescent="0.35">
      <c r="A16" s="12"/>
      <c r="B16" s="6"/>
      <c r="C16" s="13"/>
      <c r="D16" s="6"/>
      <c r="E16" s="9" t="s">
        <v>15</v>
      </c>
      <c r="G16" s="5">
        <f>SUM(G2:G14)</f>
        <v>24</v>
      </c>
      <c r="H16" s="4"/>
    </row>
    <row r="17" spans="5:7" x14ac:dyDescent="0.35">
      <c r="E17" s="9" t="s">
        <v>16</v>
      </c>
      <c r="G17" s="1">
        <v>24</v>
      </c>
    </row>
  </sheetData>
  <conditionalFormatting sqref="A2:A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AA2526 (2)</vt:lpstr>
      <vt:lpstr>AA2526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2015-06-05T18:17:20Z</dcterms:created>
  <dcterms:modified xsi:type="dcterms:W3CDTF">2025-11-12T14:16:15Z</dcterms:modified>
</cp:coreProperties>
</file>